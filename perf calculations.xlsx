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Max\Desktop\PerfProject\PerfProject\"/>
    </mc:Choice>
  </mc:AlternateContent>
  <xr:revisionPtr revIDLastSave="0" documentId="8_{0276200C-93D7-4216-B376-76AE778DB23E}" xr6:coauthVersionLast="47" xr6:coauthVersionMax="47" xr10:uidLastSave="{00000000-0000-0000-0000-000000000000}"/>
  <bookViews>
    <workbookView xWindow="-120" yWindow="-120" windowWidth="38640" windowHeight="21240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3" i="1" l="1"/>
  <c r="E13" i="1" s="1"/>
  <c r="F13" i="1" s="1"/>
  <c r="D14" i="1"/>
  <c r="E14" i="1" s="1"/>
  <c r="F14" i="1" s="1"/>
  <c r="D15" i="1"/>
  <c r="E15" i="1" s="1"/>
  <c r="F15" i="1" s="1"/>
  <c r="D16" i="1"/>
  <c r="E16" i="1" s="1"/>
  <c r="F16" i="1" s="1"/>
  <c r="D12" i="1"/>
  <c r="E12" i="1" s="1"/>
  <c r="F12" i="1" s="1"/>
  <c r="D5" i="1"/>
  <c r="E5" i="1" s="1"/>
  <c r="F5" i="1" s="1"/>
  <c r="G5" i="1" s="1"/>
  <c r="D6" i="1"/>
  <c r="E6" i="1" s="1"/>
  <c r="F6" i="1" s="1"/>
  <c r="G6" i="1" s="1"/>
  <c r="D7" i="1"/>
  <c r="E7" i="1" s="1"/>
  <c r="F7" i="1" s="1"/>
  <c r="G7" i="1" s="1"/>
  <c r="D8" i="1"/>
  <c r="E8" i="1" s="1"/>
  <c r="F8" i="1" s="1"/>
  <c r="G8" i="1" s="1"/>
  <c r="D4" i="1"/>
  <c r="E4" i="1" s="1"/>
  <c r="F4" i="1" s="1"/>
  <c r="G4" i="1" s="1"/>
  <c r="G12" i="1" l="1"/>
  <c r="G14" i="1"/>
  <c r="G15" i="1"/>
  <c r="G13" i="1"/>
  <c r="G16" i="1"/>
</calcChain>
</file>

<file path=xl/sharedStrings.xml><?xml version="1.0" encoding="utf-8"?>
<sst xmlns="http://schemas.openxmlformats.org/spreadsheetml/2006/main" count="26" uniqueCount="18">
  <si>
    <t>Интенсивность</t>
  </si>
  <si>
    <t>Кол на VU</t>
  </si>
  <si>
    <t>Кол в час на VU</t>
  </si>
  <si>
    <t>количество виртуальных пользователей для обеспечения всей нагрузки</t>
  </si>
  <si>
    <t xml:space="preserve">максимальное количество операций на 1 виртуального пользователя </t>
  </si>
  <si>
    <t>Регистрация</t>
  </si>
  <si>
    <t>Создание отчета</t>
  </si>
  <si>
    <t>Создание теста</t>
  </si>
  <si>
    <t>Запуск теста</t>
  </si>
  <si>
    <t>Создание тренда</t>
  </si>
  <si>
    <t>Время выполнения</t>
  </si>
  <si>
    <t>Ступень</t>
  </si>
  <si>
    <t>Количества VU для одной ступени</t>
  </si>
  <si>
    <t>Пересчет Количества операций на одного VU</t>
  </si>
  <si>
    <t>Расчет количества операций на пользователя в минуту</t>
  </si>
  <si>
    <t>Jmeter</t>
  </si>
  <si>
    <t>Не ступенчетая</t>
  </si>
  <si>
    <t>Ступенчетая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</si>
</sst>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A5A5A5"/>
      </patternFill>
    </fill>
  </fills>
  <borders count="2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">
    <xf numFmtId="0" fontId="0" fillId="0" borderId="0"/>
    <xf numFmtId="0" fontId="2" fillId="2" borderId="0" applyNumberFormat="0" applyBorder="0" applyAlignment="0" applyProtection="0"/>
    <xf numFmtId="0" fontId="1" fillId="3" borderId="1" applyNumberFormat="0" applyAlignment="0" applyProtection="0"/>
    <xf numFmtId="0" fontId="3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3" borderId="1" xfId="2" applyAlignment="1">
      <alignment horizontal="center" vertical="center"/>
    </xf>
    <xf numFmtId="0" fontId="1" fillId="3" borderId="1" xfId="2" applyAlignment="1">
      <alignment horizontal="center" vertical="center" wrapText="1"/>
    </xf>
    <xf numFmtId="0" fontId="2" fillId="2" borderId="0" xfId="1" applyAlignment="1">
      <alignment horizontal="center" vertical="center"/>
    </xf>
    <xf numFmtId="9" fontId="0" fillId="0" borderId="0" xfId="0" applyNumberFormat="1"/>
    <xf numFmtId="0" fontId="3" fillId="0" borderId="0" xfId="3"/>
    <xf numFmtId="0" fontId="3" fillId="0" borderId="0" xfId="3" applyAlignment="1">
      <alignment horizontal="center" vertical="center"/>
    </xf>
  </cellXfs>
  <cellStyles count="4">
    <cellStyle name="Check Cell" xfId="2" builtinId="23"/>
    <cellStyle name="Explanatory Text" xfId="3" builtinId="53"/>
    <cellStyle name="Neutral" xfId="1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6"/>
  <sheetViews>
    <sheetView tabSelected="1" zoomScale="175" zoomScaleNormal="175" workbookViewId="0">
      <selection activeCell="K11" sqref="K11"/>
    </sheetView>
  </sheetViews>
  <sheetFormatPr defaultRowHeight="15" x14ac:dyDescent="0.25"/>
  <cols>
    <col min="1" max="1" width="16.7109375" customWidth="1"/>
    <col min="2" max="2" width="16.140625" bestFit="1" customWidth="1"/>
    <col min="3" max="3" width="14" customWidth="1"/>
    <col min="4" max="4" width="14.140625" bestFit="1" customWidth="1"/>
    <col min="5" max="5" width="16.7109375" customWidth="1"/>
    <col min="6" max="6" width="14.85546875" bestFit="1" customWidth="1"/>
    <col min="7" max="7" width="22.42578125" bestFit="1" customWidth="1"/>
    <col min="8" max="8" width="11.42578125" bestFit="1" customWidth="1"/>
    <col min="9" max="9" width="10" customWidth="1"/>
    <col min="10" max="15" width="11" customWidth="1"/>
  </cols>
  <sheetData>
    <row r="1" spans="1:12" s="1" customFormat="1" x14ac:dyDescent="0.25">
      <c r="A1" t="s">
        <v>15</v>
      </c>
      <c r="B1"/>
      <c r="C1"/>
      <c r="D1"/>
      <c r="E1"/>
      <c r="F1"/>
      <c r="G1"/>
      <c r="H1" s="3"/>
      <c r="I1" s="3"/>
      <c r="J1" s="3"/>
      <c r="K1" s="2"/>
      <c r="L1" s="2"/>
    </row>
    <row r="2" spans="1:12" ht="15.75" thickBot="1" x14ac:dyDescent="0.3">
      <c r="A2" s="8" t="s">
        <v>16</v>
      </c>
      <c r="H2" s="3"/>
      <c r="I2" s="3"/>
      <c r="J2" s="3"/>
      <c r="K2" s="3"/>
      <c r="L2" s="3"/>
    </row>
    <row r="3" spans="1:12" ht="91.5" thickTop="1" thickBot="1" x14ac:dyDescent="0.3">
      <c r="A3" s="4"/>
      <c r="B3" s="4" t="s">
        <v>0</v>
      </c>
      <c r="C3" s="5" t="s">
        <v>10</v>
      </c>
      <c r="D3" s="5" t="s">
        <v>4</v>
      </c>
      <c r="E3" s="5" t="s">
        <v>3</v>
      </c>
      <c r="F3" s="5" t="s">
        <v>2</v>
      </c>
      <c r="G3" s="4" t="s">
        <v>1</v>
      </c>
      <c r="K3" s="3"/>
      <c r="L3" s="3"/>
    </row>
    <row r="4" spans="1:12" ht="15.75" thickTop="1" x14ac:dyDescent="0.25">
      <c r="A4" s="3" t="s">
        <v>5</v>
      </c>
      <c r="B4" s="3">
        <v>750</v>
      </c>
      <c r="C4" s="3">
        <v>4</v>
      </c>
      <c r="D4" s="3">
        <f>3600/C4</f>
        <v>900</v>
      </c>
      <c r="E4" s="3">
        <f>ROUNDUP(B4/D4,0)</f>
        <v>1</v>
      </c>
      <c r="F4" s="6">
        <f>B4/E4</f>
        <v>750</v>
      </c>
      <c r="G4" s="6">
        <f>F4/60</f>
        <v>12.5</v>
      </c>
      <c r="K4" s="3"/>
      <c r="L4" s="3"/>
    </row>
    <row r="5" spans="1:12" x14ac:dyDescent="0.25">
      <c r="A5" s="3" t="s">
        <v>6</v>
      </c>
      <c r="B5" s="3">
        <v>3000</v>
      </c>
      <c r="C5" s="3">
        <v>3</v>
      </c>
      <c r="D5" s="3">
        <f>3600/C5</f>
        <v>1200</v>
      </c>
      <c r="E5" s="3">
        <f t="shared" ref="E5:E8" si="0">ROUNDUP(B5/D5,0)</f>
        <v>3</v>
      </c>
      <c r="F5" s="6">
        <f t="shared" ref="F5:F8" si="1">B5/E5</f>
        <v>1000</v>
      </c>
      <c r="G5" s="6">
        <f t="shared" ref="G5:G8" si="2">F5/60</f>
        <v>16.666666666666668</v>
      </c>
      <c r="K5" s="3"/>
      <c r="L5" s="3"/>
    </row>
    <row r="6" spans="1:12" x14ac:dyDescent="0.25">
      <c r="A6" s="3" t="s">
        <v>7</v>
      </c>
      <c r="B6" s="3">
        <v>4500</v>
      </c>
      <c r="C6" s="3">
        <v>3</v>
      </c>
      <c r="D6" s="3">
        <f t="shared" ref="D6:D8" si="3">3600/C6</f>
        <v>1200</v>
      </c>
      <c r="E6" s="3">
        <f t="shared" si="0"/>
        <v>4</v>
      </c>
      <c r="F6" s="6">
        <f t="shared" si="1"/>
        <v>1125</v>
      </c>
      <c r="G6" s="6">
        <f t="shared" si="2"/>
        <v>18.75</v>
      </c>
      <c r="K6" s="3"/>
      <c r="L6" s="3"/>
    </row>
    <row r="7" spans="1:12" x14ac:dyDescent="0.25">
      <c r="A7" s="3" t="s">
        <v>8</v>
      </c>
      <c r="B7" s="3">
        <v>675</v>
      </c>
      <c r="C7" s="3">
        <v>4</v>
      </c>
      <c r="D7" s="3">
        <f t="shared" si="3"/>
        <v>900</v>
      </c>
      <c r="E7" s="3">
        <f t="shared" si="0"/>
        <v>1</v>
      </c>
      <c r="F7" s="6">
        <f t="shared" si="1"/>
        <v>675</v>
      </c>
      <c r="G7" s="6">
        <f t="shared" si="2"/>
        <v>11.25</v>
      </c>
      <c r="K7" s="3"/>
      <c r="L7" s="3"/>
    </row>
    <row r="8" spans="1:12" x14ac:dyDescent="0.25">
      <c r="A8" s="3" t="s">
        <v>9</v>
      </c>
      <c r="B8" s="3">
        <v>7500</v>
      </c>
      <c r="C8" s="3">
        <v>4</v>
      </c>
      <c r="D8" s="3">
        <f t="shared" si="3"/>
        <v>900</v>
      </c>
      <c r="E8" s="3">
        <f t="shared" si="0"/>
        <v>9</v>
      </c>
      <c r="F8" s="6">
        <f t="shared" si="1"/>
        <v>833.33333333333337</v>
      </c>
      <c r="G8" s="6">
        <f t="shared" si="2"/>
        <v>13.888888888888889</v>
      </c>
      <c r="K8" s="3"/>
    </row>
    <row r="9" spans="1:12" x14ac:dyDescent="0.25">
      <c r="K9" s="3"/>
    </row>
    <row r="10" spans="1:12" ht="15.75" thickBot="1" x14ac:dyDescent="0.3">
      <c r="A10" s="9" t="s">
        <v>17</v>
      </c>
      <c r="K10" s="3"/>
    </row>
    <row r="11" spans="1:12" ht="76.5" thickTop="1" thickBot="1" x14ac:dyDescent="0.3">
      <c r="A11" s="4"/>
      <c r="B11" s="4" t="s">
        <v>0</v>
      </c>
      <c r="C11" s="5" t="s">
        <v>10</v>
      </c>
      <c r="D11" s="5" t="s">
        <v>4</v>
      </c>
      <c r="E11" s="5" t="s">
        <v>12</v>
      </c>
      <c r="F11" s="5" t="s">
        <v>13</v>
      </c>
      <c r="G11" s="5" t="s">
        <v>14</v>
      </c>
      <c r="K11" s="3"/>
      <c r="L11" s="3"/>
    </row>
    <row r="12" spans="1:12" ht="15.75" thickTop="1" x14ac:dyDescent="0.25">
      <c r="A12" s="3" t="s">
        <v>5</v>
      </c>
      <c r="B12" s="3">
        <v>750</v>
      </c>
      <c r="C12" s="3">
        <v>4</v>
      </c>
      <c r="D12" s="3">
        <f>3600/C12</f>
        <v>900</v>
      </c>
      <c r="E12" s="3">
        <f>ROUNDUP((B12*$J$12)/D12,0)</f>
        <v>1</v>
      </c>
      <c r="F12" s="6">
        <f>(B12*$J$12)/E12</f>
        <v>75</v>
      </c>
      <c r="G12" s="6">
        <f>F12/60</f>
        <v>1.25</v>
      </c>
      <c r="I12" t="s">
        <v>11</v>
      </c>
      <c r="J12" s="7">
        <v>0.1</v>
      </c>
      <c r="K12" s="3"/>
      <c r="L12" s="3"/>
    </row>
    <row r="13" spans="1:12" x14ac:dyDescent="0.25">
      <c r="A13" s="3" t="s">
        <v>6</v>
      </c>
      <c r="B13" s="3">
        <v>3000</v>
      </c>
      <c r="C13" s="3">
        <v>3</v>
      </c>
      <c r="D13" s="3">
        <f t="shared" ref="D13:D16" si="4">3600/C13</f>
        <v>1200</v>
      </c>
      <c r="E13" s="3">
        <f>ROUNDUP((B13*$J$12)/D13,0)</f>
        <v>1</v>
      </c>
      <c r="F13" s="6">
        <f>(B13*$J$12)/E13</f>
        <v>300</v>
      </c>
      <c r="G13" s="6">
        <f t="shared" ref="G13:G16" si="5">F13/60</f>
        <v>5</v>
      </c>
      <c r="K13" s="3"/>
      <c r="L13" s="3"/>
    </row>
    <row r="14" spans="1:12" x14ac:dyDescent="0.25">
      <c r="A14" s="3" t="s">
        <v>7</v>
      </c>
      <c r="B14" s="3">
        <v>4500</v>
      </c>
      <c r="C14" s="3">
        <v>3</v>
      </c>
      <c r="D14" s="3">
        <f t="shared" si="4"/>
        <v>1200</v>
      </c>
      <c r="E14" s="3">
        <f>ROUNDUP((B14*$J$12)/D14,0)</f>
        <v>1</v>
      </c>
      <c r="F14" s="6">
        <f>(B14*$J$12)/E14</f>
        <v>450</v>
      </c>
      <c r="G14" s="6">
        <f t="shared" si="5"/>
        <v>7.5</v>
      </c>
      <c r="K14" s="3"/>
      <c r="L14" s="3"/>
    </row>
    <row r="15" spans="1:12" x14ac:dyDescent="0.25">
      <c r="A15" s="3" t="s">
        <v>8</v>
      </c>
      <c r="B15" s="3">
        <v>675</v>
      </c>
      <c r="C15" s="3">
        <v>4</v>
      </c>
      <c r="D15" s="3">
        <f t="shared" si="4"/>
        <v>900</v>
      </c>
      <c r="E15" s="3">
        <f>ROUNDUP((B15*$J$12)/D15,0)</f>
        <v>1</v>
      </c>
      <c r="F15" s="6">
        <f>(B15*$J$12)/E15</f>
        <v>67.5</v>
      </c>
      <c r="G15" s="6">
        <f t="shared" si="5"/>
        <v>1.125</v>
      </c>
      <c r="K15" s="3"/>
      <c r="L15" s="3"/>
    </row>
    <row r="16" spans="1:12" x14ac:dyDescent="0.25">
      <c r="A16" s="3" t="s">
        <v>9</v>
      </c>
      <c r="B16" s="3">
        <v>7500</v>
      </c>
      <c r="C16" s="3">
        <v>4</v>
      </c>
      <c r="D16" s="3">
        <f t="shared" si="4"/>
        <v>900</v>
      </c>
      <c r="E16" s="3">
        <f>ROUNDUP((B16*$J$12)/D16,0)</f>
        <v>1</v>
      </c>
      <c r="F16" s="6">
        <f>(B16*$J$12)/E16</f>
        <v>750</v>
      </c>
      <c r="G16" s="6">
        <f t="shared" si="5"/>
        <v>12.5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</dc:creator>
  <cp:lastModifiedBy>Maxim Schiaroli</cp:lastModifiedBy>
  <dcterms:created xsi:type="dcterms:W3CDTF">2026-01-17T09:36:02Z</dcterms:created>
  <dcterms:modified xsi:type="dcterms:W3CDTF">2026-02-12T17:59:50Z</dcterms:modified>
</cp:coreProperties>
</file>